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fabi\calidad de servicio\"/>
    </mc:Choice>
  </mc:AlternateContent>
  <bookViews>
    <workbookView xWindow="0" yWindow="0" windowWidth="15345" windowHeight="3840" tabRatio="739" activeTab="1"/>
  </bookViews>
  <sheets>
    <sheet name="menu" sheetId="10" r:id="rId1"/>
    <sheet name="grafico" sheetId="14" r:id="rId2"/>
    <sheet name="Usabilidad" sheetId="4" r:id="rId3"/>
    <sheet name="Presencia" sheetId="5" r:id="rId4"/>
    <sheet name="Accesibilidad" sheetId="6" r:id="rId5"/>
    <sheet name="Rapidez acceso" sheetId="7" r:id="rId6"/>
    <sheet name="Indexacion buscadores" sheetId="8" r:id="rId7"/>
    <sheet name="Seguridad" sheetId="9" r:id="rId8"/>
  </sheets>
  <definedNames>
    <definedName name="_xlnm._FilterDatabase" localSheetId="2" hidden="1">Usabilidad!$A$1:$D$50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9" l="1"/>
  <c r="C16" i="8"/>
  <c r="C23" i="7"/>
  <c r="C18" i="6"/>
  <c r="C18" i="5"/>
  <c r="C50" i="4"/>
  <c r="F3" i="4" l="1"/>
</calcChain>
</file>

<file path=xl/sharedStrings.xml><?xml version="1.0" encoding="utf-8"?>
<sst xmlns="http://schemas.openxmlformats.org/spreadsheetml/2006/main" count="178" uniqueCount="135">
  <si>
    <t>Conceptos de Usabilidad</t>
  </si>
  <si>
    <t>Cumple</t>
  </si>
  <si>
    <t>Identidad Corporativa</t>
  </si>
  <si>
    <t>1.</t>
  </si>
  <si>
    <t>2.</t>
  </si>
  <si>
    <t>3.</t>
  </si>
  <si>
    <t>4.</t>
  </si>
  <si>
    <t>Utilidad del Sitio Web</t>
  </si>
  <si>
    <t>5.</t>
  </si>
  <si>
    <t>Visibilidad del estado del sistema</t>
  </si>
  <si>
    <t>Ayuda ante errores</t>
  </si>
  <si>
    <t>Conceptos de Presencia en Internet</t>
  </si>
  <si>
    <t>Conceptos de Accesibilidad</t>
  </si>
  <si>
    <t>Conceptos de Rapidez de Acceso</t>
  </si>
  <si>
    <t>Conceptos de Seguridad</t>
  </si>
  <si>
    <t>Consistencia y cumplimiento de estandares</t>
  </si>
  <si>
    <t>Navegacion</t>
  </si>
  <si>
    <t>Atencion de errores</t>
  </si>
  <si>
    <t>Retroalimentacion (Feedback)</t>
  </si>
  <si>
    <t>La portada del Sitio refleja la identidad y pertenencia de la institucion?</t>
  </si>
  <si>
    <t>Existen elementos de la imagen corporativa del Gobierno en la Portada de su Sitio? Se repiten en todas las paginas?</t>
  </si>
  <si>
    <t>El logotipo del Gobierno ha sido incluido en un lugar importante en la Portada y en las paginas interiores del Sitio?</t>
  </si>
  <si>
    <t>Todas las paginas cuentan con un titulo que indique el nombre de la institucion e informacion de contactos virtuales y fisicos al pie de la pagina?</t>
  </si>
  <si>
    <t>El Sitio ofrece informacion sobre las actividades y servicios mas recientes e importantes que esta llevando a cabo la institucion?</t>
  </si>
  <si>
    <t>Los usuarios pueden encontrar facilmente en la portada la informacion acerca de las actividades y servicios mas importantes de la institucion?</t>
  </si>
  <si>
    <t>Aparece el menu de navegacion en un lugar destacado? Se ve facilmente?</t>
  </si>
  <si>
    <t>Verifico la consistencia de todos los enlaces?</t>
  </si>
  <si>
    <t>El Sitio cuenta con un mapa o buscador que facilite el acceso directo a los contenidos?</t>
  </si>
  <si>
    <t>El Sitio mantiene una navegacion consistente y coherente en todas las pantallas?</t>
  </si>
  <si>
    <t>Se informa al usuario claramente el area del Sitio que esta visitando?</t>
  </si>
  <si>
    <t>El Sitio Web diferencia entre enlaces visitados y enlaces por visitar?</t>
  </si>
  <si>
    <t>En caso de servicios o tramites en linea, ofrece informacion de cuantos pasos faltan para terminar?</t>
  </si>
  <si>
    <t>El HTML del Sitio ha sido validado satisfactoriamente segun w3c.org?</t>
  </si>
  <si>
    <t>El o los archivos de Hojas de estilo (CSS) han sido aprobados segun w3c.org?</t>
  </si>
  <si>
    <t>Comprobo la consistencia de Links usando el verificador de w3c.org?</t>
  </si>
  <si>
    <t>Usa Javascript para validar formularios durante su llenado y antes de enviarlos?</t>
  </si>
  <si>
    <t>Usa elementos destacados para indicar los campos obligatorios dentro de un formulario?</t>
  </si>
  <si>
    <t>Despues de que ocurre un error, es facil volver a la pagina donde se encontraba antes que se produjese o entrega recomendaciones de los pasos a seguir?</t>
  </si>
  <si>
    <t>Usa jerarquias visuales para determinar lo importante con una sola mirada?</t>
  </si>
  <si>
    <t>Las imagenes tienen etiqueta ALT en el codigo HTML para facilitar la navegacion?</t>
  </si>
  <si>
    <t>En caso de errores de consistencia dentro del sitio, se ofrece un mensaje de personalizado mediante una pagina explicativa?, (Por ejemplo: Error 404 para pagina inexistente)</t>
  </si>
  <si>
    <t>Entrega informacion de contacto fuera de Internet? (Por ejemplo: telefono institucional, fono 600, mesa de ayuda, OIRS)</t>
  </si>
  <si>
    <t>Ofrece area de Preguntas Frecuentes con datos de ayuda a usuarios?</t>
  </si>
  <si>
    <t>Ofrece paginas de ayuda que explican como usar el Sitio?</t>
  </si>
  <si>
    <t>Puede el usuario ponerse en contacto con el encargado del Sitio Web para hacer sugerencias o comentarios?</t>
  </si>
  <si>
    <t>Funcionan correctamente los formularios de contacto?, Ha probado cada uno de ellos?</t>
  </si>
  <si>
    <t>Hay alguien encargado de recibir y contestar estos mensajes?</t>
  </si>
  <si>
    <t>El diseno del Sitio es eficiente, rapido e intuitivo?</t>
  </si>
  <si>
    <t>Estetica y diseno</t>
  </si>
  <si>
    <t>Las imagenes tienen tamanos adecuados que no dificultan el acceso a las paginas?</t>
  </si>
  <si>
    <t>Existen elementos de la imagen corporativa (logo) en la Portada de su Sitio? Se repiten en todas las paginas?</t>
  </si>
  <si>
    <t>El logotipo ha sido incluido en un lugar importante en la Portada y en las paginas interiores del Sitio?</t>
  </si>
  <si>
    <t>El nombre de la URL esta vinculado con el nombre o funcion de la institucion y se ofrece en la barra superior del programa visualizador?</t>
  </si>
  <si>
    <t>La direccion URL del Sitio Web ha sido incluida en la Papeleria institucional? (Como por ejemplo: tarjetas de presentacion, hojas carta, sobres, afiches, volantes, dipticos y otros)</t>
  </si>
  <si>
    <t>Ofrece el Sitio contenidos sobre la vision, mision, objetivos y plan estrategico de la institucion?</t>
  </si>
  <si>
    <t>Los funcionarios institucionales conocen la direccion del Sitio?</t>
  </si>
  <si>
    <t>Se responden consultas que llegan desde diferentes vias y medios, utilizando contenidos que esten publicados en el Sitio Web?, Estas respuestas incluyen la direccion de documentos que hayan sido publicados en el Sitio?</t>
  </si>
  <si>
    <t>Se publican habitualmente las novedades de la institucion en el Sitio Web? Es adecuada la periodicidad de publicacion?</t>
  </si>
  <si>
    <t>Existe un encargado de dar respuesta a los correos electronicos que se reciben a traves del Sitio?, Hay una norma interna que regule la atencion de estos mensajes?</t>
  </si>
  <si>
    <t>El Sitio esta registrado en la Intranet?</t>
  </si>
  <si>
    <t>Se hace una revision periodica del LOG (bitacora) del Sitio para conocer las actividades que han estado haciendo los usuarios y de esa manera mejorar los contenidos que se les ofrecen?</t>
  </si>
  <si>
    <t>Existe algun sistema que lleve un registro de las respuestas enviadas que permita evaluar el desempeno de esta tarea?</t>
  </si>
  <si>
    <t>El tamano de la letra de los textos es adecuado y ajustable o modificable por el usuario usando las herramientas del programa visualizador?</t>
  </si>
  <si>
    <t>Todos los nuevos documentos que se agregan al Sitio Web incluyen los campos de Metadata adecuados?</t>
  </si>
  <si>
    <t>El Sitio ofrece un contenido adecuado para el tag HTML META NAME="description"?</t>
  </si>
  <si>
    <t>El Sitio ofrece un contenido adecuado para el tag HTML META NAME="keywords"?</t>
  </si>
  <si>
    <t>El Sitio ofrece un texto adecuado en el texto que aparece en el META tag NAME="robots"?</t>
  </si>
  <si>
    <t>El Sitio cuenta con un archivo de texto Robots.txt para los directorios que no se desea indexar?</t>
  </si>
  <si>
    <t>Ha definido como tarea permanente la de revisar la presencia del Sitio en Buscadores?</t>
  </si>
  <si>
    <t>Los datos privados, entregados voluntariamente por los usuarios, son guardados de manera reservada?</t>
  </si>
  <si>
    <t>Protege la integridad de sus programas y datos?</t>
  </si>
  <si>
    <t>Se evita que sea visto, el nombre de los programas y los directorios?</t>
  </si>
  <si>
    <t>Se cuenta con un protocolo de seguridad para evitar ataques externos e intrusiones de hackers?</t>
  </si>
  <si>
    <t>Se ha revisado el saneamiento en el output de contenidos ingresados por usuarios?</t>
  </si>
  <si>
    <t>Se ha revisado si las contrasenas en el servidor son almacenadas utilizando un hash con un salt aleatorio.?</t>
  </si>
  <si>
    <t>Se han filtrado los ataques de SQL Injection?. Se recomienda utilizar PreparedStatements/Consultas parametrizadas para hacer consultas a la base de datos.</t>
  </si>
  <si>
    <t>Se han filtrado los ataques XSS?. Existen variadas librerias que filtran el ingreso de scripts por parte del usuario</t>
  </si>
  <si>
    <t>Las tablas se utilizan para presentar informacion y no para diagramar el contenido del Sitio Web?</t>
  </si>
  <si>
    <t>Se ofrecen elementos de navegacion claros?</t>
  </si>
  <si>
    <t>Los formularios ofrecen opciones que permitan al usuario evitar, cancelar o rehacer una accion?</t>
  </si>
  <si>
    <t>Provee informacion del organigrama de la institucion?, Incluye nombres actualizados de las autoridades y la forma de contactarlos?</t>
  </si>
  <si>
    <t>Conceptos de Indexacion en Buscadores</t>
  </si>
  <si>
    <t>Tiene definido el texto que aparece en el tag HTML &lt;title&gt; para indicar el Nombre del Sitio o de la Institucion?</t>
  </si>
  <si>
    <t>Se ha realizado validacion de inputs del usuario en el servidor?</t>
  </si>
  <si>
    <t>Se ha verificado logica de permisos para realizar las distintas acciones en el sitio web. Ej: Que usuarios pueden borrar, crear, editar los diferentes elementos.?</t>
  </si>
  <si>
    <t>Se han realizado respaldos de la base de datos en forma periodica o se han programado estos respaldos en tareas ?</t>
  </si>
  <si>
    <t>Ha definido como tarea permanente la realizacion de alianzas e intercambio de enlaces con otros Sitios de instituciones del Sector Publico?</t>
  </si>
  <si>
    <t>Frente a una busqueda dentro del Sitio o cualquier operacion en el mismo los resultados se muestran correctamente?</t>
  </si>
  <si>
    <t>Se ofrecen soluciones transitorias que permiten a usuarios con browsers antiguos, acceder a contenidos que han sido creados en nuevas tecnologias?</t>
  </si>
  <si>
    <t>Se usan las tecnologias y guias de trabajo generadas por la W3C?</t>
  </si>
  <si>
    <t>El diseno usa jerarquias visuales para determinar lo importante con una sola mirada?</t>
  </si>
  <si>
    <t>Los vinculos (links) visitados y no visitados son claramente diferenciables?</t>
  </si>
  <si>
    <t>Los iconos son representativos de la funcion o accion que realizan y son aclarados mediante una etiqueta ALT en HTML?</t>
  </si>
  <si>
    <t>La politica de seguridad implementada para validar el acceso restringido es adecuada a los propositos del servicio o de la institucion?</t>
  </si>
  <si>
    <t>Se cuenta con una politica de respaldo de informacion que permita superar efectos de fallas derivadas del punto anterior?</t>
  </si>
  <si>
    <t>Se ha revisado si los sitios web que requieran login de usuarios usan conexiones encriptadas via HTTPS.?</t>
  </si>
  <si>
    <t>Se proporciona un texto equivalente para todo elemento no textual, tales como imagenes, para explicar su contenido a discapacitados visuales?</t>
  </si>
  <si>
    <t>El documento esta estructurado para que pueda ser leido con o sin una hoja de estilo, utilizando adecuadamente los tags de HTML?</t>
  </si>
  <si>
    <t>El documento esta escrito en un lenguaje adecuado y se deja claro cuando se cambia de idioma?</t>
  </si>
  <si>
    <t>Las paginas que utilizan nuevas tecnologias siguen funcionando cuando dicha tecnologia no esta presente (por ejemplo, los plug-ins de Flash)?</t>
  </si>
  <si>
    <t>Es posible controlar los objetos o las paginas que se actualizan o se cambian automaticamente, permitiendo incluso generar pausas para su revision?</t>
  </si>
  <si>
    <t>Se asegura la accesibilidad de los elementos de la pagina que tengan sus propias interfaces? (Por ejemplo para el uso de Portlets)</t>
  </si>
  <si>
    <t>Se permite al usuario activar elementos de las paginas, usando cualquier dispositivo como el mouse o el teclado y no solo uno en particular?</t>
  </si>
  <si>
    <t>Se ofrece ayuda y orientacion a los usuarios para entender paginas o elementos complejos dentro de ellas? (Por ejemplo: mapas y graficos)</t>
  </si>
  <si>
    <t>El usuario puede encontrar en no mas de 3 clics la informacion buscada?</t>
  </si>
  <si>
    <t>Es facil llegar a las secciones mas importantes del Sitio desde cualquier pagina?</t>
  </si>
  <si>
    <t>El Sitio mantiene una navegacion consistente y coherente en todas sus paginas?</t>
  </si>
  <si>
    <t>Los vinculos, imagenes e iconos son claramente visibles y distinguibles?</t>
  </si>
  <si>
    <t>Ofrece paginas de ayuda que explican como usar el Sitio Web?</t>
  </si>
  <si>
    <t>Cuando un usuario accede al Sitio mediante un Link ofrecido en un buscador y esta pagina ya no existe, se ofrece un mensaje personalizado que le permita encontrarla en su nueva ubicacion o le ofrezca un contenido alternativo?</t>
  </si>
  <si>
    <t>El Sitio esta indexado en el directorio DMOZ.org?</t>
  </si>
  <si>
    <t>El Sitio esta indexado en los buscadores Google y Altavista?</t>
  </si>
  <si>
    <t>Revisa periodicamente el LOG (bitacora) del Sitio para identificar las palabras mas utilizadas por los usuarios para acceder a su Sitio?</t>
  </si>
  <si>
    <t>El Sitio funciona correctamente y no presenta fallas al navegar por sus paginas o utilizar sus servicios? (especialmente en el caso de Tramites en linea)</t>
  </si>
  <si>
    <t>Todos los vinculos del Sitio tienen una pagina asociada y el contenido adecuado al vinculo senalado?</t>
  </si>
  <si>
    <t>Se ofrece una Politica de Privacidad de los Datos Personales y se informa de su existencia en las paginas pertinentes?</t>
  </si>
  <si>
    <t>Se han tomado medidas para prevenir los ataques XSRF/CSRF?. Las acciones del usuario sobre el sitio web deben ser enviadas via POST, ademas de enviar un secret token generado al momento de presentar el formulario web.</t>
  </si>
  <si>
    <t>La informacion transmitida a traves de los colores tambien esta disponible sin color?</t>
  </si>
  <si>
    <t>Se asegura que los documentos que se ofrecen a traves del Sitio son simples, claros y pueden ser facilmente entendidos?</t>
  </si>
  <si>
    <t>El Sitio cuenta con un mapa y/o buscador que de un acceso alternativo a los contenidos?</t>
  </si>
  <si>
    <t>En el caso que existan palabras tecnicas en los contenidos del Sitio Existe una seccion de glosario que las explique?, es facil llegar a el?</t>
  </si>
  <si>
    <t>Los datos ingresados por un usuario a traves de formularios, son validados antes de ser enviados y procesados por el servidor del Sitio?</t>
  </si>
  <si>
    <t>Los servicios ofrecidos son realizados a traves de canales de transaccion seguros?</t>
  </si>
  <si>
    <t>En los temas que requieren de accesos restringidos, el Sitio provee algun medio para validar el acceso, por ejemplo: a traves de una caja de conexion con nombre de usuario y password?</t>
  </si>
  <si>
    <t>En cuanto a la seguridad de CMS (Joomla, Wordpress, Drupal u otros): Se ha verificado que esten instalados los ultimos parches de seguridad de estos sistemas?</t>
  </si>
  <si>
    <t>En cuanto a la seguridad Apache / IIS / NGINX u otros : Se ha verificado que esten instalados los ultimos parches de seguridad de estos servidores y verificar que las versiones en produccion sean su “version estable”?</t>
  </si>
  <si>
    <t>PORCENTAJE:</t>
  </si>
  <si>
    <t>porcetanje</t>
  </si>
  <si>
    <t>seguro</t>
  </si>
  <si>
    <t>usabilidad</t>
  </si>
  <si>
    <t>presencia</t>
  </si>
  <si>
    <t>accesibilidad</t>
  </si>
  <si>
    <t>rapidez acceso</t>
  </si>
  <si>
    <t>indexacion buscadores</t>
  </si>
  <si>
    <t>seguridad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</si>
</sst>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Inherit"/>
    </font>
    <font>
      <sz val="14.3"/>
      <color rgb="FF00A9C2"/>
      <name val="Arial"/>
      <family val="2"/>
    </font>
    <font>
      <sz val="11"/>
      <color theme="1"/>
      <name val="Inherit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4" fillId="2" borderId="0" xfId="0" applyFont="1" applyFill="1" applyAlignment="1">
      <alignment horizontal="right"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9" fontId="2" fillId="0" borderId="0" xfId="1" applyFont="1" applyAlignment="1">
      <alignment horizontal="center" vertical="center" wrapText="1"/>
    </xf>
    <xf numFmtId="9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9" fontId="0" fillId="0" borderId="0" xfId="0" applyNumberFormat="1"/>
    <xf numFmtId="9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grafico!$A$2:$A$7</c:f>
              <c:strCache>
                <c:ptCount val="6"/>
                <c:pt idx="0">
                  <c:v>usabilidad</c:v>
                </c:pt>
                <c:pt idx="1">
                  <c:v>presencia</c:v>
                </c:pt>
                <c:pt idx="2">
                  <c:v>accesibilidad</c:v>
                </c:pt>
                <c:pt idx="3">
                  <c:v>rapidez acceso</c:v>
                </c:pt>
                <c:pt idx="4">
                  <c:v>indexacion buscadores</c:v>
                </c:pt>
                <c:pt idx="5">
                  <c:v>seguridad</c:v>
                </c:pt>
              </c:strCache>
            </c:strRef>
          </c:cat>
          <c:val>
            <c:numRef>
              <c:f>grafico!$B$2:$B$7</c:f>
              <c:numCache>
                <c:formatCode>0%</c:formatCode>
                <c:ptCount val="6"/>
                <c:pt idx="0">
                  <c:v>0.67</c:v>
                </c:pt>
                <c:pt idx="1">
                  <c:v>0.71</c:v>
                </c:pt>
                <c:pt idx="2">
                  <c:v>0.64</c:v>
                </c:pt>
                <c:pt idx="3">
                  <c:v>0.74</c:v>
                </c:pt>
                <c:pt idx="4">
                  <c:v>0.67</c:v>
                </c:pt>
                <c:pt idx="5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B-44B0-9B25-E84FCE87430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3</xdr:row>
      <xdr:rowOff>47625</xdr:rowOff>
    </xdr:from>
    <xdr:to>
      <xdr:col>3</xdr:col>
      <xdr:colOff>552450</xdr:colOff>
      <xdr:row>5</xdr:row>
      <xdr:rowOff>28575</xdr:rowOff>
    </xdr:to>
    <xdr:sp macro="[0]!usabilidad" textlink="">
      <xdr:nvSpPr>
        <xdr:cNvPr id="2" name="Rectángulo redondeado 1"/>
        <xdr:cNvSpPr/>
      </xdr:nvSpPr>
      <xdr:spPr>
        <a:xfrm>
          <a:off x="1333500" y="61912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usabilidad</a:t>
          </a:r>
        </a:p>
      </xdr:txBody>
    </xdr:sp>
    <xdr:clientData/>
  </xdr:twoCellAnchor>
  <xdr:twoCellAnchor>
    <xdr:from>
      <xdr:col>4</xdr:col>
      <xdr:colOff>342900</xdr:colOff>
      <xdr:row>3</xdr:row>
      <xdr:rowOff>19050</xdr:rowOff>
    </xdr:from>
    <xdr:to>
      <xdr:col>6</xdr:col>
      <xdr:colOff>323850</xdr:colOff>
      <xdr:row>5</xdr:row>
      <xdr:rowOff>0</xdr:rowOff>
    </xdr:to>
    <xdr:sp macro="[0]!presencia" textlink="">
      <xdr:nvSpPr>
        <xdr:cNvPr id="3" name="Rectángulo redondeado 2"/>
        <xdr:cNvSpPr/>
      </xdr:nvSpPr>
      <xdr:spPr>
        <a:xfrm>
          <a:off x="3390900" y="590550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presencia</a:t>
          </a:r>
        </a:p>
      </xdr:txBody>
    </xdr:sp>
    <xdr:clientData/>
  </xdr:twoCellAnchor>
  <xdr:twoCellAnchor>
    <xdr:from>
      <xdr:col>7</xdr:col>
      <xdr:colOff>0</xdr:colOff>
      <xdr:row>3</xdr:row>
      <xdr:rowOff>9525</xdr:rowOff>
    </xdr:from>
    <xdr:to>
      <xdr:col>8</xdr:col>
      <xdr:colOff>742950</xdr:colOff>
      <xdr:row>4</xdr:row>
      <xdr:rowOff>180975</xdr:rowOff>
    </xdr:to>
    <xdr:sp macro="[0]!Rapidez_acceso" textlink="">
      <xdr:nvSpPr>
        <xdr:cNvPr id="4" name="Rectángulo redondeado 3"/>
        <xdr:cNvSpPr/>
      </xdr:nvSpPr>
      <xdr:spPr>
        <a:xfrm>
          <a:off x="5334000" y="58102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repidez acceso</a:t>
          </a:r>
        </a:p>
      </xdr:txBody>
    </xdr:sp>
    <xdr:clientData/>
  </xdr:twoCellAnchor>
  <xdr:twoCellAnchor>
    <xdr:from>
      <xdr:col>9</xdr:col>
      <xdr:colOff>342900</xdr:colOff>
      <xdr:row>3</xdr:row>
      <xdr:rowOff>9524</xdr:rowOff>
    </xdr:from>
    <xdr:to>
      <xdr:col>11</xdr:col>
      <xdr:colOff>323850</xdr:colOff>
      <xdr:row>6</xdr:row>
      <xdr:rowOff>95250</xdr:rowOff>
    </xdr:to>
    <xdr:sp macro="[0]!indexacion_buscadores" textlink="">
      <xdr:nvSpPr>
        <xdr:cNvPr id="5" name="Rectángulo redondeado 4"/>
        <xdr:cNvSpPr/>
      </xdr:nvSpPr>
      <xdr:spPr>
        <a:xfrm>
          <a:off x="7200900" y="581024"/>
          <a:ext cx="150495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indexacion</a:t>
          </a:r>
          <a:r>
            <a:rPr lang="en-US" sz="1400" baseline="0"/>
            <a:t> buscadores</a:t>
          </a:r>
          <a:endParaRPr lang="en-US" sz="1400"/>
        </a:p>
      </xdr:txBody>
    </xdr:sp>
    <xdr:clientData/>
  </xdr:twoCellAnchor>
  <xdr:twoCellAnchor>
    <xdr:from>
      <xdr:col>12</xdr:col>
      <xdr:colOff>47625</xdr:colOff>
      <xdr:row>2</xdr:row>
      <xdr:rowOff>180975</xdr:rowOff>
    </xdr:from>
    <xdr:to>
      <xdr:col>14</xdr:col>
      <xdr:colOff>28575</xdr:colOff>
      <xdr:row>4</xdr:row>
      <xdr:rowOff>161925</xdr:rowOff>
    </xdr:to>
    <xdr:sp macro="[0]!seguridad" textlink="">
      <xdr:nvSpPr>
        <xdr:cNvPr id="6" name="Rectángulo redondeado 5"/>
        <xdr:cNvSpPr/>
      </xdr:nvSpPr>
      <xdr:spPr>
        <a:xfrm>
          <a:off x="9191625" y="561975"/>
          <a:ext cx="15049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seguridad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371475</xdr:colOff>
      <xdr:row>3</xdr:row>
      <xdr:rowOff>109537</xdr:rowOff>
    </xdr:from>
    <xdr:to>
      <xdr:col>10</xdr:col>
      <xdr:colOff>371475</xdr:colOff>
      <xdr:row>17</xdr:row>
      <xdr:rowOff>185737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H12" sqref="H12"/>
    </sheetView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activeCell="L10" sqref="L10"/>
    </sheetView>
  </sheetViews>
  <sheetFormatPr baseColWidth="10" defaultRowHeight="15"/>
  <cols>
    <col min="1" max="1" width="21.28515625" customWidth="1"/>
    <col min="2" max="2" width="12" bestFit="1" customWidth="1"/>
  </cols>
  <sheetData>
    <row r="1" spans="1:3" ht="15.75">
      <c r="A1" t="s">
        <v>128</v>
      </c>
      <c r="B1" s="9" t="s">
        <v>127</v>
      </c>
      <c r="C1" s="10"/>
    </row>
    <row r="2" spans="1:3">
      <c r="A2" t="s">
        <v>129</v>
      </c>
      <c r="B2" s="19">
        <v>0.67</v>
      </c>
    </row>
    <row r="3" spans="1:3">
      <c r="A3" t="s">
        <v>130</v>
      </c>
      <c r="B3" s="18">
        <v>0.71</v>
      </c>
    </row>
    <row r="4" spans="1:3">
      <c r="A4" t="s">
        <v>131</v>
      </c>
      <c r="B4" s="18">
        <v>0.64</v>
      </c>
    </row>
    <row r="5" spans="1:3">
      <c r="A5" t="s">
        <v>132</v>
      </c>
      <c r="B5" s="18">
        <v>0.74</v>
      </c>
    </row>
    <row r="6" spans="1:3">
      <c r="A6" t="s">
        <v>133</v>
      </c>
      <c r="B6" s="18">
        <v>0.67</v>
      </c>
    </row>
    <row r="7" spans="1:3">
      <c r="A7" t="s">
        <v>134</v>
      </c>
      <c r="B7" s="18">
        <v>0.79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50"/>
  <sheetViews>
    <sheetView topLeftCell="B36" zoomScale="90" zoomScaleNormal="90" workbookViewId="0">
      <selection activeCell="E49" sqref="E49"/>
    </sheetView>
  </sheetViews>
  <sheetFormatPr baseColWidth="10" defaultColWidth="11.42578125" defaultRowHeight="15" outlineLevelCol="1"/>
  <cols>
    <col min="1" max="1" width="11.42578125" customWidth="1"/>
    <col min="2" max="2" width="149" customWidth="1"/>
    <col min="3" max="4" width="11.42578125" customWidth="1"/>
    <col min="5" max="5" width="11.42578125" customWidth="1" outlineLevel="1"/>
    <col min="6" max="6" width="11.42578125" customWidth="1"/>
  </cols>
  <sheetData>
    <row r="1" spans="1:6" s="1" customFormat="1">
      <c r="B1" s="2" t="s">
        <v>0</v>
      </c>
    </row>
    <row r="2" spans="1:6" s="1" customFormat="1">
      <c r="B2" s="2"/>
      <c r="C2" s="11" t="s">
        <v>1</v>
      </c>
      <c r="D2" s="11"/>
    </row>
    <row r="3" spans="1:6" s="1" customFormat="1" ht="18">
      <c r="B3" s="3" t="s">
        <v>2</v>
      </c>
      <c r="C3" s="11"/>
      <c r="D3" s="11"/>
      <c r="F3" s="1" t="str">
        <f>SUBSTITUTE(SUBSTITUTE(SUBSTITUTE(SUBSTITUTE(SUBSTITUTE(A1,"a","a"),"e","e"),"i","i"),"o","o"),"u","u")</f>
        <v/>
      </c>
    </row>
    <row r="4" spans="1:6" s="1" customFormat="1" ht="15.75" thickBot="1">
      <c r="A4" s="4" t="s">
        <v>3</v>
      </c>
      <c r="B4" s="4" t="s">
        <v>19</v>
      </c>
      <c r="C4" s="11">
        <v>1</v>
      </c>
      <c r="D4" s="11"/>
    </row>
    <row r="5" spans="1:6" s="1" customFormat="1" ht="15.75" thickBot="1">
      <c r="A5" s="4" t="s">
        <v>4</v>
      </c>
      <c r="B5" s="4" t="s">
        <v>20</v>
      </c>
      <c r="C5" s="11">
        <v>1</v>
      </c>
      <c r="D5" s="11"/>
    </row>
    <row r="6" spans="1:6" s="1" customFormat="1" ht="15.75" thickBot="1">
      <c r="A6" s="4" t="s">
        <v>5</v>
      </c>
      <c r="B6" s="4" t="s">
        <v>21</v>
      </c>
      <c r="C6" s="11">
        <v>1</v>
      </c>
      <c r="D6" s="11"/>
    </row>
    <row r="7" spans="1:6" s="1" customFormat="1" ht="15.75" thickBot="1">
      <c r="A7" s="4" t="s">
        <v>6</v>
      </c>
      <c r="B7" s="4" t="s">
        <v>22</v>
      </c>
      <c r="C7" s="11">
        <v>1</v>
      </c>
      <c r="D7" s="11"/>
    </row>
    <row r="8" spans="1:6" s="1" customFormat="1">
      <c r="B8" s="5"/>
      <c r="C8" s="11"/>
      <c r="D8" s="11"/>
    </row>
    <row r="9" spans="1:6" s="1" customFormat="1" ht="18">
      <c r="B9" s="3" t="s">
        <v>7</v>
      </c>
      <c r="C9" s="11"/>
      <c r="D9" s="11"/>
    </row>
    <row r="10" spans="1:6" s="1" customFormat="1" ht="15.75" thickBot="1">
      <c r="A10" s="4" t="s">
        <v>3</v>
      </c>
      <c r="B10" s="4" t="s">
        <v>23</v>
      </c>
      <c r="C10" s="11">
        <v>0</v>
      </c>
      <c r="D10" s="11"/>
    </row>
    <row r="11" spans="1:6" s="1" customFormat="1" ht="15.75" thickBot="1">
      <c r="A11" s="4" t="s">
        <v>4</v>
      </c>
      <c r="B11" s="4" t="s">
        <v>24</v>
      </c>
      <c r="C11" s="11">
        <v>0</v>
      </c>
      <c r="D11" s="11"/>
    </row>
    <row r="12" spans="1:6" s="1" customFormat="1">
      <c r="B12" s="5"/>
      <c r="C12" s="11"/>
      <c r="D12" s="11"/>
    </row>
    <row r="13" spans="1:6" s="1" customFormat="1" ht="18">
      <c r="B13" s="3" t="s">
        <v>16</v>
      </c>
      <c r="C13" s="11"/>
      <c r="D13" s="11"/>
    </row>
    <row r="14" spans="1:6" s="1" customFormat="1" ht="15.75" thickBot="1">
      <c r="A14" s="4" t="s">
        <v>3</v>
      </c>
      <c r="B14" s="4" t="s">
        <v>47</v>
      </c>
      <c r="C14" s="11">
        <v>0</v>
      </c>
      <c r="D14" s="11"/>
    </row>
    <row r="15" spans="1:6" s="1" customFormat="1" ht="15.75" thickBot="1">
      <c r="A15" s="4" t="s">
        <v>4</v>
      </c>
      <c r="B15" s="4" t="s">
        <v>25</v>
      </c>
      <c r="C15" s="11">
        <v>1</v>
      </c>
      <c r="D15" s="11"/>
    </row>
    <row r="16" spans="1:6" s="1" customFormat="1" ht="15.75" thickBot="1">
      <c r="A16" s="4" t="s">
        <v>5</v>
      </c>
      <c r="B16" s="4" t="s">
        <v>26</v>
      </c>
      <c r="C16" s="11">
        <v>1</v>
      </c>
      <c r="D16" s="11"/>
    </row>
    <row r="17" spans="1:4" s="1" customFormat="1" ht="15.75" thickBot="1">
      <c r="A17" s="4" t="s">
        <v>6</v>
      </c>
      <c r="B17" s="4" t="s">
        <v>27</v>
      </c>
      <c r="C17" s="11">
        <v>1</v>
      </c>
      <c r="D17" s="11"/>
    </row>
    <row r="18" spans="1:4" s="1" customFormat="1" ht="15.75" thickBot="1">
      <c r="A18" s="4" t="s">
        <v>8</v>
      </c>
      <c r="B18" s="4" t="s">
        <v>28</v>
      </c>
      <c r="C18" s="11">
        <v>0</v>
      </c>
      <c r="D18" s="11"/>
    </row>
    <row r="19" spans="1:4" s="1" customFormat="1">
      <c r="B19" s="5"/>
      <c r="C19" s="11"/>
      <c r="D19" s="11"/>
    </row>
    <row r="20" spans="1:4" s="1" customFormat="1" ht="18">
      <c r="B20" s="3" t="s">
        <v>9</v>
      </c>
      <c r="C20" s="11"/>
      <c r="D20" s="11"/>
    </row>
    <row r="21" spans="1:4" s="1" customFormat="1" ht="15.75" thickBot="1">
      <c r="A21" s="4" t="s">
        <v>3</v>
      </c>
      <c r="B21" s="4" t="s">
        <v>29</v>
      </c>
      <c r="C21" s="11">
        <v>1</v>
      </c>
      <c r="D21" s="11"/>
    </row>
    <row r="22" spans="1:4" s="1" customFormat="1" ht="15.75" thickBot="1">
      <c r="A22" s="4" t="s">
        <v>4</v>
      </c>
      <c r="B22" s="4" t="s">
        <v>30</v>
      </c>
      <c r="C22" s="11">
        <v>0</v>
      </c>
      <c r="D22" s="11"/>
    </row>
    <row r="23" spans="1:4" s="1" customFormat="1" ht="15.75" thickBot="1">
      <c r="A23" s="4" t="s">
        <v>5</v>
      </c>
      <c r="B23" s="4" t="s">
        <v>31</v>
      </c>
      <c r="C23" s="11">
        <v>1</v>
      </c>
      <c r="D23" s="11"/>
    </row>
    <row r="24" spans="1:4" s="1" customFormat="1">
      <c r="B24" s="5"/>
      <c r="C24" s="11"/>
      <c r="D24" s="11"/>
    </row>
    <row r="25" spans="1:4" s="1" customFormat="1" ht="18">
      <c r="B25" s="3" t="s">
        <v>15</v>
      </c>
      <c r="C25" s="11">
        <v>1</v>
      </c>
      <c r="D25" s="11"/>
    </row>
    <row r="26" spans="1:4" s="1" customFormat="1" ht="15.75" thickBot="1">
      <c r="A26" s="4" t="s">
        <v>3</v>
      </c>
      <c r="B26" s="4" t="s">
        <v>32</v>
      </c>
      <c r="C26" s="11">
        <v>0</v>
      </c>
      <c r="D26" s="11"/>
    </row>
    <row r="27" spans="1:4" s="1" customFormat="1" ht="15.75" thickBot="1">
      <c r="A27" s="4" t="s">
        <v>4</v>
      </c>
      <c r="B27" s="4" t="s">
        <v>33</v>
      </c>
      <c r="C27" s="11">
        <v>1</v>
      </c>
      <c r="D27" s="11"/>
    </row>
    <row r="28" spans="1:4" s="1" customFormat="1" ht="15.75" thickBot="1">
      <c r="A28" s="4" t="s">
        <v>5</v>
      </c>
      <c r="B28" s="4" t="s">
        <v>34</v>
      </c>
      <c r="C28" s="11">
        <v>0</v>
      </c>
      <c r="D28" s="11"/>
    </row>
    <row r="29" spans="1:4" s="1" customFormat="1">
      <c r="B29" s="5"/>
      <c r="C29" s="11"/>
      <c r="D29" s="11"/>
    </row>
    <row r="30" spans="1:4" s="1" customFormat="1" ht="18">
      <c r="B30" s="3" t="s">
        <v>17</v>
      </c>
      <c r="C30" s="11"/>
      <c r="D30" s="11"/>
    </row>
    <row r="31" spans="1:4" s="1" customFormat="1" ht="15.75" thickBot="1">
      <c r="A31" s="4" t="s">
        <v>3</v>
      </c>
      <c r="B31" s="4" t="s">
        <v>35</v>
      </c>
      <c r="C31" s="11">
        <v>1</v>
      </c>
      <c r="D31" s="11"/>
    </row>
    <row r="32" spans="1:4" s="1" customFormat="1" ht="15.75" thickBot="1">
      <c r="A32" s="4" t="s">
        <v>4</v>
      </c>
      <c r="B32" s="4" t="s">
        <v>36</v>
      </c>
      <c r="C32" s="11">
        <v>1</v>
      </c>
      <c r="D32" s="11"/>
    </row>
    <row r="33" spans="1:4" s="1" customFormat="1" ht="29.25" thickBot="1">
      <c r="A33" s="4" t="s">
        <v>5</v>
      </c>
      <c r="B33" s="4" t="s">
        <v>37</v>
      </c>
      <c r="C33" s="11">
        <v>0</v>
      </c>
      <c r="D33" s="11"/>
    </row>
    <row r="34" spans="1:4" s="1" customFormat="1">
      <c r="B34" s="5"/>
      <c r="C34" s="11">
        <v>1</v>
      </c>
      <c r="D34" s="11"/>
    </row>
    <row r="35" spans="1:4" s="1" customFormat="1" ht="18">
      <c r="B35" s="3" t="s">
        <v>48</v>
      </c>
      <c r="C35" s="11">
        <v>1</v>
      </c>
      <c r="D35" s="11"/>
    </row>
    <row r="36" spans="1:4" s="1" customFormat="1" ht="15.75" thickBot="1">
      <c r="A36" s="4" t="s">
        <v>3</v>
      </c>
      <c r="B36" s="4" t="s">
        <v>38</v>
      </c>
      <c r="C36" s="11">
        <v>1</v>
      </c>
      <c r="D36" s="11"/>
    </row>
    <row r="37" spans="1:4" s="1" customFormat="1" ht="15.75" thickBot="1">
      <c r="A37" s="4" t="s">
        <v>4</v>
      </c>
      <c r="B37" s="4" t="s">
        <v>49</v>
      </c>
      <c r="C37" s="11">
        <v>0</v>
      </c>
      <c r="D37" s="11"/>
    </row>
    <row r="38" spans="1:4" s="1" customFormat="1" ht="15.75" thickBot="1">
      <c r="A38" s="4" t="s">
        <v>5</v>
      </c>
      <c r="B38" s="4" t="s">
        <v>39</v>
      </c>
      <c r="C38" s="11">
        <v>0</v>
      </c>
      <c r="D38" s="11"/>
    </row>
    <row r="39" spans="1:4" s="1" customFormat="1">
      <c r="B39" s="5"/>
      <c r="C39" s="11"/>
      <c r="D39" s="11"/>
    </row>
    <row r="40" spans="1:4" s="1" customFormat="1" ht="18">
      <c r="B40" s="3" t="s">
        <v>10</v>
      </c>
      <c r="C40" s="11"/>
      <c r="D40" s="11"/>
    </row>
    <row r="41" spans="1:4" s="1" customFormat="1" ht="29.25" thickBot="1">
      <c r="A41" s="4" t="s">
        <v>3</v>
      </c>
      <c r="B41" s="4" t="s">
        <v>40</v>
      </c>
      <c r="C41" s="11">
        <v>1</v>
      </c>
      <c r="D41" s="11"/>
    </row>
    <row r="42" spans="1:4" s="1" customFormat="1" ht="15.75" thickBot="1">
      <c r="A42" s="4" t="s">
        <v>4</v>
      </c>
      <c r="B42" s="4" t="s">
        <v>41</v>
      </c>
      <c r="C42" s="11">
        <v>1</v>
      </c>
      <c r="D42" s="11"/>
    </row>
    <row r="43" spans="1:4" s="1" customFormat="1" ht="15.75" thickBot="1">
      <c r="A43" s="4" t="s">
        <v>5</v>
      </c>
      <c r="B43" s="4" t="s">
        <v>42</v>
      </c>
      <c r="C43" s="11">
        <v>1</v>
      </c>
      <c r="D43" s="11"/>
    </row>
    <row r="44" spans="1:4" s="1" customFormat="1" ht="15.75" thickBot="1">
      <c r="A44" s="4" t="s">
        <v>4</v>
      </c>
      <c r="B44" s="4" t="s">
        <v>43</v>
      </c>
      <c r="C44" s="11">
        <v>1</v>
      </c>
      <c r="D44" s="11"/>
    </row>
    <row r="45" spans="1:4" s="1" customFormat="1">
      <c r="C45" s="11"/>
      <c r="D45" s="11"/>
    </row>
    <row r="46" spans="1:4" s="1" customFormat="1" ht="18">
      <c r="B46" s="3" t="s">
        <v>18</v>
      </c>
      <c r="C46" s="11"/>
      <c r="D46" s="11"/>
    </row>
    <row r="47" spans="1:4" s="1" customFormat="1" ht="15.75" thickBot="1">
      <c r="A47" s="4" t="s">
        <v>3</v>
      </c>
      <c r="B47" s="4" t="s">
        <v>44</v>
      </c>
      <c r="C47" s="11">
        <v>1</v>
      </c>
      <c r="D47" s="11"/>
    </row>
    <row r="48" spans="1:4" s="1" customFormat="1" ht="15.75" thickBot="1">
      <c r="A48" s="4" t="s">
        <v>4</v>
      </c>
      <c r="B48" s="4" t="s">
        <v>45</v>
      </c>
      <c r="C48" s="11">
        <v>0</v>
      </c>
      <c r="D48" s="11"/>
    </row>
    <row r="49" spans="1:4" s="1" customFormat="1" ht="15.75" thickBot="1">
      <c r="A49" s="4" t="s">
        <v>5</v>
      </c>
      <c r="B49" s="4" t="s">
        <v>46</v>
      </c>
      <c r="C49" s="11">
        <v>1</v>
      </c>
      <c r="D49" s="11"/>
    </row>
    <row r="50" spans="1:4" s="1" customFormat="1">
      <c r="B50" s="9" t="s">
        <v>126</v>
      </c>
      <c r="C50" s="12">
        <f>AVERAGE(C4:D49)</f>
        <v>0.66666666666666663</v>
      </c>
      <c r="D50" s="13"/>
    </row>
  </sheetData>
  <dataConsolidate/>
  <mergeCells count="49"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7:D47"/>
    <mergeCell ref="C48:D48"/>
    <mergeCell ref="C49:D49"/>
    <mergeCell ref="C50:D50"/>
    <mergeCell ref="C42:D42"/>
    <mergeCell ref="C43:D43"/>
    <mergeCell ref="C44:D44"/>
    <mergeCell ref="C45:D45"/>
    <mergeCell ref="C46:D46"/>
  </mergeCells>
  <conditionalFormatting sqref="C4:D49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9"/>
  <sheetViews>
    <sheetView zoomScale="85" zoomScaleNormal="85" workbookViewId="0">
      <selection activeCell="E9" sqref="E9"/>
    </sheetView>
  </sheetViews>
  <sheetFormatPr baseColWidth="10" defaultRowHeight="15"/>
  <cols>
    <col min="1" max="1" width="3.85546875" bestFit="1" customWidth="1"/>
    <col min="2" max="2" width="163" customWidth="1"/>
  </cols>
  <sheetData>
    <row r="1" spans="1:6" s="1" customFormat="1" ht="15.75">
      <c r="B1" s="6" t="s">
        <v>11</v>
      </c>
      <c r="C1" s="6"/>
    </row>
    <row r="2" spans="1:6" s="1" customFormat="1" ht="15.75">
      <c r="B2" s="6"/>
      <c r="C2" s="11" t="s">
        <v>1</v>
      </c>
      <c r="D2" s="11"/>
    </row>
    <row r="3" spans="1:6" s="1" customFormat="1">
      <c r="C3" s="11"/>
      <c r="D3" s="11"/>
    </row>
    <row r="4" spans="1:6" s="1" customFormat="1" ht="15.75" thickBot="1">
      <c r="A4" s="7">
        <v>1</v>
      </c>
      <c r="B4" s="7" t="s">
        <v>19</v>
      </c>
      <c r="C4" s="11">
        <v>1</v>
      </c>
      <c r="D4" s="11"/>
    </row>
    <row r="5" spans="1:6" s="1" customFormat="1" ht="15.75" thickBot="1">
      <c r="A5" s="7">
        <v>2</v>
      </c>
      <c r="B5" s="7" t="s">
        <v>50</v>
      </c>
      <c r="C5" s="11">
        <v>1</v>
      </c>
      <c r="D5" s="11"/>
      <c r="E5" s="11"/>
      <c r="F5" s="11"/>
    </row>
    <row r="6" spans="1:6" s="1" customFormat="1" ht="15.75" thickBot="1">
      <c r="A6" s="7">
        <v>3</v>
      </c>
      <c r="B6" s="7" t="s">
        <v>51</v>
      </c>
      <c r="C6" s="11">
        <v>0</v>
      </c>
      <c r="D6" s="11"/>
    </row>
    <row r="7" spans="1:6" s="1" customFormat="1" ht="15.75" thickBot="1">
      <c r="A7" s="7">
        <v>4</v>
      </c>
      <c r="B7" s="7" t="s">
        <v>52</v>
      </c>
      <c r="C7" s="11">
        <v>1</v>
      </c>
      <c r="D7" s="11"/>
    </row>
    <row r="8" spans="1:6" s="1" customFormat="1" ht="30.75" thickBot="1">
      <c r="A8" s="7">
        <v>5</v>
      </c>
      <c r="B8" s="7" t="s">
        <v>53</v>
      </c>
      <c r="C8" s="11">
        <v>0</v>
      </c>
      <c r="D8" s="11"/>
    </row>
    <row r="9" spans="1:6" s="1" customFormat="1" ht="15.75" thickBot="1">
      <c r="A9" s="7">
        <v>6</v>
      </c>
      <c r="B9" s="7" t="s">
        <v>22</v>
      </c>
      <c r="C9" s="11">
        <v>1</v>
      </c>
      <c r="D9" s="11"/>
    </row>
    <row r="10" spans="1:6" s="1" customFormat="1" ht="15.75" thickBot="1">
      <c r="A10" s="7">
        <v>7</v>
      </c>
      <c r="B10" s="7" t="s">
        <v>54</v>
      </c>
      <c r="C10" s="11">
        <v>1</v>
      </c>
      <c r="D10" s="11"/>
    </row>
    <row r="11" spans="1:6" s="1" customFormat="1" ht="15.75" thickBot="1">
      <c r="A11" s="7">
        <v>8</v>
      </c>
      <c r="B11" s="7" t="s">
        <v>55</v>
      </c>
      <c r="C11" s="11">
        <v>1</v>
      </c>
      <c r="D11" s="11"/>
    </row>
    <row r="12" spans="1:6" s="1" customFormat="1" ht="30.75" thickBot="1">
      <c r="A12" s="7">
        <v>9</v>
      </c>
      <c r="B12" s="7" t="s">
        <v>56</v>
      </c>
      <c r="C12" s="11">
        <v>0</v>
      </c>
      <c r="D12" s="11"/>
    </row>
    <row r="13" spans="1:6" s="1" customFormat="1" ht="15.75" thickBot="1">
      <c r="A13" s="7">
        <v>10</v>
      </c>
      <c r="B13" s="7" t="s">
        <v>57</v>
      </c>
      <c r="C13" s="11">
        <v>1</v>
      </c>
      <c r="D13" s="11"/>
    </row>
    <row r="14" spans="1:6" s="1" customFormat="1" ht="30.75" thickBot="1">
      <c r="A14" s="7">
        <v>11</v>
      </c>
      <c r="B14" s="7" t="s">
        <v>58</v>
      </c>
      <c r="C14" s="11">
        <v>1</v>
      </c>
      <c r="D14" s="11"/>
    </row>
    <row r="15" spans="1:6" s="1" customFormat="1" ht="15.75" thickBot="1">
      <c r="A15" s="7">
        <v>12</v>
      </c>
      <c r="B15" s="7" t="s">
        <v>61</v>
      </c>
      <c r="C15" s="11">
        <v>0</v>
      </c>
      <c r="D15" s="11"/>
    </row>
    <row r="16" spans="1:6" s="1" customFormat="1" ht="15.75" thickBot="1">
      <c r="A16" s="7">
        <v>13</v>
      </c>
      <c r="B16" s="7" t="s">
        <v>59</v>
      </c>
      <c r="C16" s="11">
        <v>1</v>
      </c>
      <c r="D16" s="11"/>
    </row>
    <row r="17" spans="1:4" s="1" customFormat="1" ht="30.75" thickBot="1">
      <c r="A17" s="7">
        <v>14</v>
      </c>
      <c r="B17" s="7" t="s">
        <v>60</v>
      </c>
      <c r="C17" s="11">
        <v>1</v>
      </c>
      <c r="D17" s="11"/>
    </row>
    <row r="18" spans="1:4" s="1" customFormat="1">
      <c r="B18" s="9" t="s">
        <v>126</v>
      </c>
      <c r="C18" s="14">
        <f>AVERAGE(C4:D17)</f>
        <v>0.7142857142857143</v>
      </c>
      <c r="D18" s="14"/>
    </row>
    <row r="19" spans="1:4">
      <c r="C19" s="11"/>
      <c r="D19" s="11"/>
    </row>
    <row r="20" spans="1:4">
      <c r="C20" s="11"/>
      <c r="D20" s="11"/>
    </row>
    <row r="21" spans="1:4">
      <c r="C21" s="11"/>
      <c r="D21" s="11"/>
    </row>
    <row r="22" spans="1:4">
      <c r="C22" s="11"/>
      <c r="D22" s="11"/>
    </row>
    <row r="23" spans="1:4">
      <c r="C23" s="11"/>
      <c r="D23" s="11"/>
    </row>
    <row r="24" spans="1:4">
      <c r="C24" s="11"/>
      <c r="D24" s="11"/>
    </row>
    <row r="25" spans="1:4">
      <c r="C25" s="11"/>
      <c r="D25" s="11"/>
    </row>
    <row r="26" spans="1:4">
      <c r="C26" s="11"/>
      <c r="D26" s="11"/>
    </row>
    <row r="27" spans="1:4">
      <c r="C27" s="11"/>
      <c r="D27" s="11"/>
    </row>
    <row r="28" spans="1:4">
      <c r="C28" s="11"/>
      <c r="D28" s="11"/>
    </row>
    <row r="29" spans="1:4">
      <c r="C29" s="11"/>
      <c r="D29" s="11"/>
    </row>
    <row r="30" spans="1:4">
      <c r="C30" s="11"/>
      <c r="D30" s="11"/>
    </row>
    <row r="31" spans="1:4">
      <c r="C31" s="11"/>
      <c r="D31" s="11"/>
    </row>
    <row r="32" spans="1:4">
      <c r="C32" s="11"/>
      <c r="D32" s="11"/>
    </row>
    <row r="33" spans="3:4">
      <c r="C33" s="11"/>
      <c r="D33" s="11"/>
    </row>
    <row r="34" spans="3:4">
      <c r="C34" s="11"/>
      <c r="D34" s="11"/>
    </row>
    <row r="35" spans="3:4">
      <c r="C35" s="11"/>
      <c r="D35" s="11"/>
    </row>
    <row r="36" spans="3:4">
      <c r="C36" s="11"/>
      <c r="D36" s="11"/>
    </row>
    <row r="37" spans="3:4">
      <c r="C37" s="11"/>
      <c r="D37" s="11"/>
    </row>
    <row r="38" spans="3:4">
      <c r="C38" s="11"/>
      <c r="D38" s="11"/>
    </row>
    <row r="39" spans="3:4">
      <c r="C39" s="11"/>
      <c r="D39" s="11"/>
    </row>
    <row r="40" spans="3:4">
      <c r="C40" s="11"/>
      <c r="D40" s="11"/>
    </row>
    <row r="41" spans="3:4">
      <c r="C41" s="11"/>
      <c r="D41" s="11"/>
    </row>
    <row r="42" spans="3:4">
      <c r="C42" s="11"/>
      <c r="D42" s="11"/>
    </row>
    <row r="43" spans="3:4">
      <c r="C43" s="11"/>
      <c r="D43" s="11"/>
    </row>
    <row r="44" spans="3:4">
      <c r="C44" s="11"/>
      <c r="D44" s="11"/>
    </row>
    <row r="45" spans="3:4">
      <c r="C45" s="11"/>
      <c r="D45" s="11"/>
    </row>
    <row r="46" spans="3:4">
      <c r="C46" s="11"/>
      <c r="D46" s="11"/>
    </row>
    <row r="47" spans="3:4">
      <c r="C47" s="11"/>
      <c r="D47" s="11"/>
    </row>
    <row r="48" spans="3:4">
      <c r="C48" s="11"/>
      <c r="D48" s="11"/>
    </row>
    <row r="49" spans="3:4">
      <c r="C49" s="11"/>
      <c r="D49" s="11"/>
    </row>
  </sheetData>
  <mergeCells count="49">
    <mergeCell ref="C48:D48"/>
    <mergeCell ref="C49:D49"/>
    <mergeCell ref="C43:D43"/>
    <mergeCell ref="C44:D44"/>
    <mergeCell ref="C45:D45"/>
    <mergeCell ref="C46:D46"/>
    <mergeCell ref="C47:D47"/>
    <mergeCell ref="C38:D38"/>
    <mergeCell ref="C39:D39"/>
    <mergeCell ref="C40:D40"/>
    <mergeCell ref="C41:D41"/>
    <mergeCell ref="C42:D42"/>
    <mergeCell ref="C33:D33"/>
    <mergeCell ref="C34:D34"/>
    <mergeCell ref="C35:D35"/>
    <mergeCell ref="C36:D36"/>
    <mergeCell ref="C37:D37"/>
    <mergeCell ref="C28:D28"/>
    <mergeCell ref="C29:D29"/>
    <mergeCell ref="C30:D30"/>
    <mergeCell ref="C31:D31"/>
    <mergeCell ref="C32:D32"/>
    <mergeCell ref="C23:D23"/>
    <mergeCell ref="C24:D24"/>
    <mergeCell ref="C25:D25"/>
    <mergeCell ref="C26:D26"/>
    <mergeCell ref="C27:D27"/>
    <mergeCell ref="E5:F5"/>
    <mergeCell ref="C19:D19"/>
    <mergeCell ref="C20:D20"/>
    <mergeCell ref="C21:D21"/>
    <mergeCell ref="C22:D22"/>
    <mergeCell ref="C8:D8"/>
    <mergeCell ref="C9:D9"/>
    <mergeCell ref="C10:D10"/>
    <mergeCell ref="C11:D11"/>
    <mergeCell ref="C7:D7"/>
    <mergeCell ref="C18:D18"/>
    <mergeCell ref="C12:D12"/>
    <mergeCell ref="C13:D13"/>
    <mergeCell ref="C14:D14"/>
    <mergeCell ref="C15:D15"/>
    <mergeCell ref="C16:D16"/>
    <mergeCell ref="C17:D17"/>
    <mergeCell ref="C3:D3"/>
    <mergeCell ref="C2:D2"/>
    <mergeCell ref="C4:D4"/>
    <mergeCell ref="C5:D5"/>
    <mergeCell ref="C6:D6"/>
  </mergeCells>
  <conditionalFormatting sqref="C4:D49">
    <cfRule type="iconSet" priority="11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8">
      <iconSet iconSet="3Symbols2">
        <cfvo type="percent" val="0"/>
        <cfvo type="percent" val="33"/>
        <cfvo type="percent" val="67"/>
      </iconSet>
    </cfRule>
    <cfRule type="iconSet" priority="10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C4:D49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C4:D4 C6:D6 C8:D8 C10:D10 C12:D12 C14:D14 C16:D16">
    <cfRule type="iconSet" priority="1">
      <iconSet iconSet="3Symbols2">
        <cfvo type="percent" val="0"/>
        <cfvo type="percent" val="33"/>
        <cfvo type="percent" val="67"/>
      </iconSet>
    </cfRule>
    <cfRule type="iconSet" priority="3">
      <iconSet iconSet="3Symbols2">
        <cfvo type="percent" val="0"/>
        <cfvo type="percent" val="33"/>
        <cfvo type="percent" val="67"/>
      </iconSet>
    </cfRule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C4:D17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C4:D49">
    <cfRule type="iconSet" priority="2">
      <iconSet iconSet="3Symbols2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5:F5">
      <formula1>"SI,NO"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8"/>
  <sheetViews>
    <sheetView zoomScale="90" zoomScaleNormal="90" workbookViewId="0">
      <selection activeCell="B13" sqref="B13"/>
    </sheetView>
  </sheetViews>
  <sheetFormatPr baseColWidth="10" defaultRowHeight="15"/>
  <cols>
    <col min="1" max="1" width="3.85546875" bestFit="1" customWidth="1"/>
    <col min="2" max="2" width="161.7109375" customWidth="1"/>
    <col min="3" max="3" width="14.42578125" customWidth="1"/>
  </cols>
  <sheetData>
    <row r="1" spans="1:4" s="1" customFormat="1" ht="15.75">
      <c r="B1" s="6" t="s">
        <v>12</v>
      </c>
      <c r="C1" s="6"/>
    </row>
    <row r="2" spans="1:4" s="1" customFormat="1" ht="15.75">
      <c r="B2" s="6"/>
      <c r="C2" s="11" t="s">
        <v>1</v>
      </c>
      <c r="D2" s="11"/>
    </row>
    <row r="3" spans="1:4" s="1" customFormat="1" ht="15.75">
      <c r="B3" s="6"/>
      <c r="C3" s="11"/>
      <c r="D3" s="11"/>
    </row>
    <row r="4" spans="1:4" s="1" customFormat="1" ht="15.75" thickBot="1">
      <c r="A4" s="7">
        <v>1</v>
      </c>
      <c r="B4" s="7" t="s">
        <v>96</v>
      </c>
      <c r="C4" s="11">
        <v>1</v>
      </c>
      <c r="D4" s="11"/>
    </row>
    <row r="5" spans="1:4" s="1" customFormat="1" ht="15.75" thickBot="1">
      <c r="A5" s="7">
        <v>2</v>
      </c>
      <c r="B5" s="7" t="s">
        <v>117</v>
      </c>
      <c r="C5" s="11">
        <v>0</v>
      </c>
      <c r="D5" s="11"/>
    </row>
    <row r="6" spans="1:4" s="1" customFormat="1" ht="15.75" thickBot="1">
      <c r="A6" s="7">
        <v>3</v>
      </c>
      <c r="B6" s="7" t="s">
        <v>97</v>
      </c>
      <c r="C6" s="11">
        <v>0</v>
      </c>
      <c r="D6" s="11"/>
    </row>
    <row r="7" spans="1:4" s="1" customFormat="1" ht="15.75" thickBot="1">
      <c r="A7" s="7">
        <v>4</v>
      </c>
      <c r="B7" s="7" t="s">
        <v>98</v>
      </c>
      <c r="C7" s="11">
        <v>1</v>
      </c>
      <c r="D7" s="11"/>
    </row>
    <row r="8" spans="1:4" s="1" customFormat="1" ht="15.75" thickBot="1">
      <c r="A8" s="7">
        <v>5</v>
      </c>
      <c r="B8" s="7" t="s">
        <v>77</v>
      </c>
      <c r="C8" s="11">
        <v>1</v>
      </c>
      <c r="D8" s="11"/>
    </row>
    <row r="9" spans="1:4" s="1" customFormat="1" ht="15.75" thickBot="1">
      <c r="A9" s="7">
        <v>6</v>
      </c>
      <c r="B9" s="7" t="s">
        <v>99</v>
      </c>
      <c r="C9" s="11">
        <v>0</v>
      </c>
      <c r="D9" s="11"/>
    </row>
    <row r="10" spans="1:4" s="1" customFormat="1" ht="15.75" thickBot="1">
      <c r="A10" s="7">
        <v>7</v>
      </c>
      <c r="B10" s="7" t="s">
        <v>100</v>
      </c>
      <c r="C10" s="11">
        <v>1</v>
      </c>
      <c r="D10" s="11"/>
    </row>
    <row r="11" spans="1:4" s="1" customFormat="1" ht="15.75" thickBot="1">
      <c r="A11" s="7">
        <v>8</v>
      </c>
      <c r="B11" s="7" t="s">
        <v>101</v>
      </c>
      <c r="C11" s="11">
        <v>1</v>
      </c>
      <c r="D11" s="11"/>
    </row>
    <row r="12" spans="1:4" s="1" customFormat="1" ht="15.75" thickBot="1">
      <c r="A12" s="7">
        <v>9</v>
      </c>
      <c r="B12" s="7" t="s">
        <v>102</v>
      </c>
      <c r="C12" s="11">
        <v>0</v>
      </c>
      <c r="D12" s="11"/>
    </row>
    <row r="13" spans="1:4" s="1" customFormat="1" ht="15.75" thickBot="1">
      <c r="A13" s="7">
        <v>10</v>
      </c>
      <c r="B13" s="7" t="s">
        <v>88</v>
      </c>
      <c r="C13" s="11">
        <v>1</v>
      </c>
      <c r="D13" s="11"/>
    </row>
    <row r="14" spans="1:4" s="1" customFormat="1" ht="15.75" thickBot="1">
      <c r="A14" s="7">
        <v>11</v>
      </c>
      <c r="B14" s="7" t="s">
        <v>89</v>
      </c>
      <c r="C14" s="11">
        <v>1</v>
      </c>
      <c r="D14" s="11"/>
    </row>
    <row r="15" spans="1:4" s="1" customFormat="1" ht="15.75" thickBot="1">
      <c r="A15" s="7">
        <v>12</v>
      </c>
      <c r="B15" s="7" t="s">
        <v>103</v>
      </c>
      <c r="C15" s="11">
        <v>0</v>
      </c>
      <c r="D15" s="11"/>
    </row>
    <row r="16" spans="1:4" s="1" customFormat="1" ht="15.75" thickBot="1">
      <c r="A16" s="7">
        <v>13</v>
      </c>
      <c r="B16" s="7" t="s">
        <v>78</v>
      </c>
      <c r="C16" s="11">
        <v>1</v>
      </c>
      <c r="D16" s="11"/>
    </row>
    <row r="17" spans="1:4" s="1" customFormat="1" ht="15.75" thickBot="1">
      <c r="A17" s="7">
        <v>14</v>
      </c>
      <c r="B17" s="7" t="s">
        <v>118</v>
      </c>
      <c r="C17" s="11">
        <v>1</v>
      </c>
      <c r="D17" s="11"/>
    </row>
    <row r="18" spans="1:4" ht="15.75">
      <c r="B18" s="9" t="s">
        <v>126</v>
      </c>
      <c r="C18" s="12">
        <f>AVERAGE(C4:D17)</f>
        <v>0.6428571428571429</v>
      </c>
      <c r="D18" s="13"/>
    </row>
  </sheetData>
  <mergeCells count="17">
    <mergeCell ref="C14:D14"/>
    <mergeCell ref="C15:D15"/>
    <mergeCell ref="C2:D2"/>
    <mergeCell ref="C3:D3"/>
    <mergeCell ref="C18:D18"/>
    <mergeCell ref="C4:D4"/>
    <mergeCell ref="C5:D5"/>
    <mergeCell ref="C6:D6"/>
    <mergeCell ref="C7:D7"/>
    <mergeCell ref="C8:D8"/>
    <mergeCell ref="C9:D9"/>
    <mergeCell ref="C16:D16"/>
    <mergeCell ref="C17:D17"/>
    <mergeCell ref="C10:D10"/>
    <mergeCell ref="C11:D11"/>
    <mergeCell ref="C12:D12"/>
    <mergeCell ref="C13:D13"/>
  </mergeCells>
  <conditionalFormatting sqref="C4:D17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3"/>
  <sheetViews>
    <sheetView topLeftCell="B6" workbookViewId="0">
      <selection activeCell="B16" sqref="B16"/>
    </sheetView>
  </sheetViews>
  <sheetFormatPr baseColWidth="10" defaultRowHeight="15"/>
  <cols>
    <col min="1" max="1" width="3.28515625" bestFit="1" customWidth="1"/>
    <col min="2" max="2" width="164.85546875" customWidth="1"/>
    <col min="3" max="3" width="12.5703125" bestFit="1" customWidth="1"/>
  </cols>
  <sheetData>
    <row r="1" spans="1:4" s="1" customFormat="1">
      <c r="B1" s="2" t="s">
        <v>13</v>
      </c>
      <c r="C1" s="2"/>
    </row>
    <row r="2" spans="1:4" s="1" customFormat="1">
      <c r="B2" s="2"/>
      <c r="C2" s="11" t="s">
        <v>1</v>
      </c>
      <c r="D2" s="11"/>
    </row>
    <row r="3" spans="1:4" s="1" customFormat="1">
      <c r="C3" s="11"/>
      <c r="D3" s="11"/>
    </row>
    <row r="4" spans="1:4" s="1" customFormat="1" ht="15.75" thickBot="1">
      <c r="A4" s="4">
        <v>1</v>
      </c>
      <c r="B4" s="4" t="s">
        <v>104</v>
      </c>
      <c r="C4" s="11">
        <v>0</v>
      </c>
      <c r="D4" s="11"/>
    </row>
    <row r="5" spans="1:4" s="1" customFormat="1" ht="15.75" thickBot="1">
      <c r="A5" s="4">
        <v>2</v>
      </c>
      <c r="B5" s="4" t="s">
        <v>25</v>
      </c>
      <c r="C5" s="11">
        <v>1</v>
      </c>
      <c r="D5" s="11"/>
    </row>
    <row r="6" spans="1:4" s="1" customFormat="1" ht="15.75" thickBot="1">
      <c r="A6" s="4">
        <v>3</v>
      </c>
      <c r="B6" s="4" t="s">
        <v>119</v>
      </c>
      <c r="C6" s="11">
        <v>1</v>
      </c>
      <c r="D6" s="11"/>
    </row>
    <row r="7" spans="1:4" s="1" customFormat="1" ht="15.75" thickBot="1">
      <c r="A7" s="4">
        <v>4</v>
      </c>
      <c r="B7" s="4" t="s">
        <v>105</v>
      </c>
      <c r="C7" s="11">
        <v>1</v>
      </c>
      <c r="D7" s="11"/>
    </row>
    <row r="8" spans="1:4" s="1" customFormat="1" ht="15.75" thickBot="1">
      <c r="A8" s="4">
        <v>5</v>
      </c>
      <c r="B8" s="4" t="s">
        <v>106</v>
      </c>
      <c r="C8" s="11">
        <v>1</v>
      </c>
      <c r="D8" s="11"/>
    </row>
    <row r="9" spans="1:4" s="1" customFormat="1" ht="15.75" thickBot="1">
      <c r="A9" s="4">
        <v>6</v>
      </c>
      <c r="B9" s="4" t="s">
        <v>90</v>
      </c>
      <c r="C9" s="11">
        <v>1</v>
      </c>
      <c r="D9" s="11"/>
    </row>
    <row r="10" spans="1:4" s="1" customFormat="1" ht="15.75" thickBot="1">
      <c r="A10" s="4">
        <v>7</v>
      </c>
      <c r="B10" s="4" t="s">
        <v>79</v>
      </c>
      <c r="C10" s="11">
        <v>1</v>
      </c>
      <c r="D10" s="11"/>
    </row>
    <row r="11" spans="1:4" s="1" customFormat="1" ht="15.75" thickBot="1">
      <c r="A11" s="4">
        <v>8</v>
      </c>
      <c r="B11" s="4" t="s">
        <v>62</v>
      </c>
      <c r="C11" s="11">
        <v>0</v>
      </c>
      <c r="D11" s="11"/>
    </row>
    <row r="12" spans="1:4" s="1" customFormat="1" ht="15.75" thickBot="1">
      <c r="A12" s="4">
        <v>9</v>
      </c>
      <c r="B12" s="4" t="s">
        <v>107</v>
      </c>
      <c r="C12" s="11">
        <v>1</v>
      </c>
      <c r="D12" s="11"/>
    </row>
    <row r="13" spans="1:4" s="1" customFormat="1" ht="15.75" thickBot="1">
      <c r="A13" s="4">
        <v>10</v>
      </c>
      <c r="B13" s="4" t="s">
        <v>91</v>
      </c>
      <c r="C13" s="11">
        <v>1</v>
      </c>
      <c r="D13" s="11"/>
    </row>
    <row r="14" spans="1:4" s="1" customFormat="1" ht="15.75" thickBot="1">
      <c r="A14" s="4">
        <v>11</v>
      </c>
      <c r="B14" s="4" t="s">
        <v>92</v>
      </c>
      <c r="C14" s="11">
        <v>0</v>
      </c>
      <c r="D14" s="11"/>
    </row>
    <row r="15" spans="1:4" s="1" customFormat="1" ht="15.75" thickBot="1">
      <c r="A15" s="4">
        <v>12</v>
      </c>
      <c r="B15" s="4" t="s">
        <v>22</v>
      </c>
      <c r="C15" s="11">
        <v>1</v>
      </c>
      <c r="D15" s="11"/>
    </row>
    <row r="16" spans="1:4" s="1" customFormat="1" ht="15.75" thickBot="1">
      <c r="A16" s="4">
        <v>13</v>
      </c>
      <c r="B16" s="4" t="s">
        <v>80</v>
      </c>
      <c r="C16" s="11">
        <v>1</v>
      </c>
      <c r="D16" s="11"/>
    </row>
    <row r="17" spans="1:4" s="1" customFormat="1" ht="15.75" thickBot="1">
      <c r="A17" s="4">
        <v>14</v>
      </c>
      <c r="B17" s="4" t="s">
        <v>52</v>
      </c>
      <c r="C17" s="11">
        <v>1</v>
      </c>
      <c r="D17" s="11"/>
    </row>
    <row r="18" spans="1:4" s="1" customFormat="1" ht="15.75" thickBot="1">
      <c r="A18" s="4">
        <v>15</v>
      </c>
      <c r="B18" s="4" t="s">
        <v>54</v>
      </c>
      <c r="C18" s="11">
        <v>0</v>
      </c>
      <c r="D18" s="11"/>
    </row>
    <row r="19" spans="1:4" s="1" customFormat="1" ht="15.75" thickBot="1">
      <c r="A19" s="4">
        <v>16</v>
      </c>
      <c r="B19" s="4" t="s">
        <v>120</v>
      </c>
      <c r="C19" s="11">
        <v>1</v>
      </c>
      <c r="D19" s="11"/>
    </row>
    <row r="20" spans="1:4" s="1" customFormat="1" ht="15.75" thickBot="1">
      <c r="A20" s="4">
        <v>17</v>
      </c>
      <c r="B20" s="4" t="s">
        <v>108</v>
      </c>
      <c r="C20" s="11">
        <v>0</v>
      </c>
      <c r="D20" s="11"/>
    </row>
    <row r="21" spans="1:4" s="1" customFormat="1" ht="15.75" thickBot="1">
      <c r="A21" s="4">
        <v>18</v>
      </c>
      <c r="B21" s="4" t="s">
        <v>42</v>
      </c>
      <c r="C21" s="11">
        <v>1</v>
      </c>
      <c r="D21" s="11"/>
    </row>
    <row r="22" spans="1:4" s="1" customFormat="1" ht="21.75" customHeight="1" thickBot="1">
      <c r="A22" s="4">
        <v>19</v>
      </c>
      <c r="B22" s="4" t="s">
        <v>40</v>
      </c>
      <c r="C22" s="11">
        <v>1</v>
      </c>
      <c r="D22" s="11"/>
    </row>
    <row r="23" spans="1:4" ht="15.75">
      <c r="B23" s="9" t="s">
        <v>126</v>
      </c>
      <c r="C23" s="12">
        <f>AVERAGE(C4:D22)</f>
        <v>0.73684210526315785</v>
      </c>
      <c r="D23" s="13"/>
    </row>
  </sheetData>
  <mergeCells count="22">
    <mergeCell ref="C21:D21"/>
    <mergeCell ref="C16:D16"/>
    <mergeCell ref="C17:D17"/>
    <mergeCell ref="C18:D18"/>
    <mergeCell ref="C19:D19"/>
    <mergeCell ref="C20:D20"/>
    <mergeCell ref="C15:D15"/>
    <mergeCell ref="C2:D2"/>
    <mergeCell ref="C3:D3"/>
    <mergeCell ref="C23:D2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22:D22"/>
  </mergeCells>
  <conditionalFormatting sqref="C4:D22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activeCell="B16" sqref="B16:D16"/>
    </sheetView>
  </sheetViews>
  <sheetFormatPr baseColWidth="10" defaultRowHeight="15"/>
  <cols>
    <col min="2" max="2" width="150.28515625" customWidth="1"/>
  </cols>
  <sheetData>
    <row r="1" spans="1:4" s="1" customFormat="1" ht="15.75">
      <c r="B1" s="6" t="s">
        <v>81</v>
      </c>
    </row>
    <row r="2" spans="1:4" s="1" customFormat="1">
      <c r="C2" s="11" t="s">
        <v>1</v>
      </c>
      <c r="D2" s="11"/>
    </row>
    <row r="3" spans="1:4" s="1" customFormat="1">
      <c r="C3" s="11"/>
      <c r="D3" s="11"/>
    </row>
    <row r="4" spans="1:4" s="1" customFormat="1" ht="15.75" thickBot="1">
      <c r="A4" s="7">
        <v>1</v>
      </c>
      <c r="B4" s="7" t="s">
        <v>63</v>
      </c>
      <c r="C4" s="11">
        <v>1</v>
      </c>
      <c r="D4" s="11"/>
    </row>
    <row r="5" spans="1:4" s="1" customFormat="1" ht="30.75" thickBot="1">
      <c r="A5" s="7">
        <v>2</v>
      </c>
      <c r="B5" s="7" t="s">
        <v>109</v>
      </c>
      <c r="C5" s="11">
        <v>0</v>
      </c>
      <c r="D5" s="11"/>
    </row>
    <row r="6" spans="1:4" s="1" customFormat="1" ht="15.75" thickBot="1">
      <c r="A6" s="7">
        <v>3</v>
      </c>
      <c r="B6" s="7" t="s">
        <v>82</v>
      </c>
      <c r="C6" s="11">
        <v>1</v>
      </c>
      <c r="D6" s="11"/>
    </row>
    <row r="7" spans="1:4" s="1" customFormat="1" ht="15.75" thickBot="1">
      <c r="A7" s="7">
        <v>4</v>
      </c>
      <c r="B7" s="7" t="s">
        <v>64</v>
      </c>
      <c r="C7" s="11">
        <v>1</v>
      </c>
      <c r="D7" s="11"/>
    </row>
    <row r="8" spans="1:4" s="1" customFormat="1" ht="15.75" thickBot="1">
      <c r="A8" s="7">
        <v>5</v>
      </c>
      <c r="B8" s="7" t="s">
        <v>65</v>
      </c>
      <c r="C8" s="11">
        <v>1</v>
      </c>
      <c r="D8" s="11"/>
    </row>
    <row r="9" spans="1:4" s="1" customFormat="1" ht="15.75" thickBot="1">
      <c r="A9" s="7">
        <v>6</v>
      </c>
      <c r="B9" s="7" t="s">
        <v>66</v>
      </c>
      <c r="C9" s="11">
        <v>1</v>
      </c>
      <c r="D9" s="11"/>
    </row>
    <row r="10" spans="1:4" s="1" customFormat="1" ht="15.75" thickBot="1">
      <c r="A10" s="7">
        <v>7</v>
      </c>
      <c r="B10" s="7" t="s">
        <v>67</v>
      </c>
      <c r="C10" s="11">
        <v>0</v>
      </c>
      <c r="D10" s="11"/>
    </row>
    <row r="11" spans="1:4" s="1" customFormat="1" ht="15.75" thickBot="1">
      <c r="A11" s="7">
        <v>8</v>
      </c>
      <c r="B11" s="7" t="s">
        <v>110</v>
      </c>
      <c r="C11" s="11">
        <v>1</v>
      </c>
      <c r="D11" s="11"/>
    </row>
    <row r="12" spans="1:4" s="1" customFormat="1" ht="15.75" thickBot="1">
      <c r="A12" s="7">
        <v>9</v>
      </c>
      <c r="B12" s="7" t="s">
        <v>111</v>
      </c>
      <c r="C12" s="11">
        <v>0</v>
      </c>
      <c r="D12" s="11"/>
    </row>
    <row r="13" spans="1:4" s="1" customFormat="1" ht="15.75" thickBot="1">
      <c r="A13" s="7">
        <v>10</v>
      </c>
      <c r="B13" s="7" t="s">
        <v>68</v>
      </c>
      <c r="C13" s="11">
        <v>1</v>
      </c>
      <c r="D13" s="11"/>
    </row>
    <row r="14" spans="1:4" s="1" customFormat="1" ht="15.75" thickBot="1">
      <c r="A14" s="7">
        <v>11</v>
      </c>
      <c r="B14" s="7" t="s">
        <v>86</v>
      </c>
      <c r="C14" s="11">
        <v>0</v>
      </c>
      <c r="D14" s="11"/>
    </row>
    <row r="15" spans="1:4" s="1" customFormat="1" ht="15.75" thickBot="1">
      <c r="A15" s="7">
        <v>12</v>
      </c>
      <c r="B15" s="7" t="s">
        <v>112</v>
      </c>
      <c r="C15" s="11">
        <v>1</v>
      </c>
      <c r="D15" s="11"/>
    </row>
    <row r="16" spans="1:4" ht="15.75">
      <c r="B16" s="9" t="s">
        <v>126</v>
      </c>
      <c r="C16" s="12">
        <f>AVERAGE(C4:D15)</f>
        <v>0.66666666666666663</v>
      </c>
      <c r="D16" s="13"/>
    </row>
  </sheetData>
  <mergeCells count="15">
    <mergeCell ref="C15:D15"/>
    <mergeCell ref="C2:D2"/>
    <mergeCell ref="C3:D3"/>
    <mergeCell ref="C16:D16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</mergeCells>
  <conditionalFormatting sqref="C4:D15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topLeftCell="B12" workbookViewId="0">
      <selection activeCell="E20" sqref="E20"/>
    </sheetView>
  </sheetViews>
  <sheetFormatPr baseColWidth="10" defaultRowHeight="15"/>
  <cols>
    <col min="1" max="1" width="3.28515625" bestFit="1" customWidth="1"/>
    <col min="2" max="2" width="167" customWidth="1"/>
    <col min="3" max="3" width="4.28515625" bestFit="1" customWidth="1"/>
    <col min="4" max="4" width="9.42578125" customWidth="1"/>
  </cols>
  <sheetData>
    <row r="1" spans="1:4" s="1" customFormat="1" ht="18">
      <c r="B1" s="3" t="s">
        <v>14</v>
      </c>
    </row>
    <row r="2" spans="1:4" s="1" customFormat="1">
      <c r="C2" s="17" t="s">
        <v>1</v>
      </c>
      <c r="D2" s="17"/>
    </row>
    <row r="3" spans="1:4" s="1" customFormat="1" ht="18" customHeight="1">
      <c r="B3" s="3"/>
      <c r="C3" s="11"/>
      <c r="D3" s="11"/>
    </row>
    <row r="4" spans="1:4" s="1" customFormat="1" ht="16.5" customHeight="1" thickBot="1">
      <c r="A4" s="4">
        <v>1</v>
      </c>
      <c r="B4" s="4" t="s">
        <v>113</v>
      </c>
      <c r="C4" s="11">
        <v>0</v>
      </c>
      <c r="D4" s="11"/>
    </row>
    <row r="5" spans="1:4" s="1" customFormat="1" ht="16.5" customHeight="1" thickBot="1">
      <c r="A5" s="4">
        <v>2</v>
      </c>
      <c r="B5" s="4" t="s">
        <v>121</v>
      </c>
      <c r="C5" s="11">
        <v>1</v>
      </c>
      <c r="D5" s="11"/>
    </row>
    <row r="6" spans="1:4" s="1" customFormat="1" ht="16.5" customHeight="1" thickBot="1">
      <c r="A6" s="4">
        <v>3</v>
      </c>
      <c r="B6" s="4" t="s">
        <v>114</v>
      </c>
      <c r="C6" s="11">
        <v>1</v>
      </c>
      <c r="D6" s="11"/>
    </row>
    <row r="7" spans="1:4" s="1" customFormat="1" ht="16.5" customHeight="1" thickBot="1">
      <c r="A7" s="4">
        <v>4</v>
      </c>
      <c r="B7" s="4" t="s">
        <v>87</v>
      </c>
      <c r="C7" s="11">
        <v>1</v>
      </c>
      <c r="D7" s="11"/>
    </row>
    <row r="8" spans="1:4" s="1" customFormat="1" ht="16.5" customHeight="1" thickBot="1">
      <c r="A8" s="4">
        <v>5</v>
      </c>
      <c r="B8" s="4" t="s">
        <v>69</v>
      </c>
      <c r="C8" s="11">
        <v>0</v>
      </c>
      <c r="D8" s="11"/>
    </row>
    <row r="9" spans="1:4" s="1" customFormat="1" ht="16.5" customHeight="1" thickBot="1">
      <c r="A9" s="4">
        <v>6</v>
      </c>
      <c r="B9" s="4" t="s">
        <v>115</v>
      </c>
      <c r="C9" s="11">
        <v>1</v>
      </c>
      <c r="D9" s="11"/>
    </row>
    <row r="10" spans="1:4" s="1" customFormat="1" ht="16.5" customHeight="1" thickBot="1">
      <c r="A10" s="4">
        <v>7</v>
      </c>
      <c r="B10" s="4" t="s">
        <v>122</v>
      </c>
      <c r="C10" s="11">
        <v>0</v>
      </c>
      <c r="D10" s="11"/>
    </row>
    <row r="11" spans="1:4" s="1" customFormat="1" ht="29.25" customHeight="1" thickBot="1">
      <c r="A11" s="4">
        <v>8</v>
      </c>
      <c r="B11" s="4" t="s">
        <v>123</v>
      </c>
      <c r="C11" s="11">
        <v>1</v>
      </c>
      <c r="D11" s="11"/>
    </row>
    <row r="12" spans="1:4" s="1" customFormat="1" ht="16.5" customHeight="1" thickBot="1">
      <c r="A12" s="4">
        <v>9</v>
      </c>
      <c r="B12" s="4" t="s">
        <v>93</v>
      </c>
      <c r="C12" s="11">
        <v>1</v>
      </c>
      <c r="D12" s="11"/>
    </row>
    <row r="13" spans="1:4" s="1" customFormat="1" ht="16.5" customHeight="1" thickBot="1">
      <c r="A13" s="4">
        <v>10</v>
      </c>
      <c r="B13" s="4" t="s">
        <v>70</v>
      </c>
      <c r="C13" s="11">
        <v>1</v>
      </c>
      <c r="D13" s="11"/>
    </row>
    <row r="14" spans="1:4" s="1" customFormat="1" ht="16.5" customHeight="1" thickBot="1">
      <c r="A14" s="4">
        <v>11</v>
      </c>
      <c r="B14" s="4" t="s">
        <v>71</v>
      </c>
      <c r="C14" s="11">
        <v>1</v>
      </c>
      <c r="D14" s="11"/>
    </row>
    <row r="15" spans="1:4" s="1" customFormat="1" ht="16.5" customHeight="1" thickBot="1">
      <c r="A15" s="4">
        <v>12</v>
      </c>
      <c r="B15" s="4" t="s">
        <v>72</v>
      </c>
      <c r="C15" s="11">
        <v>1</v>
      </c>
      <c r="D15" s="11"/>
    </row>
    <row r="16" spans="1:4" s="1" customFormat="1" ht="16.5" customHeight="1" thickBot="1">
      <c r="A16" s="4">
        <v>13</v>
      </c>
      <c r="B16" s="4" t="s">
        <v>94</v>
      </c>
      <c r="C16" s="11">
        <v>1</v>
      </c>
      <c r="D16" s="11"/>
    </row>
    <row r="17" spans="1:4" s="1" customFormat="1" ht="16.5" customHeight="1" thickBot="1">
      <c r="A17" s="4">
        <v>14</v>
      </c>
      <c r="B17" s="4" t="s">
        <v>83</v>
      </c>
      <c r="C17" s="11">
        <v>0</v>
      </c>
      <c r="D17" s="11"/>
    </row>
    <row r="18" spans="1:4" s="1" customFormat="1" ht="16.5" customHeight="1" thickBot="1">
      <c r="A18" s="4">
        <v>15</v>
      </c>
      <c r="B18" s="4" t="s">
        <v>73</v>
      </c>
      <c r="C18" s="11">
        <v>1</v>
      </c>
      <c r="D18" s="11"/>
    </row>
    <row r="19" spans="1:4" s="1" customFormat="1" ht="16.5" customHeight="1" thickBot="1">
      <c r="A19" s="4">
        <v>16</v>
      </c>
      <c r="B19" s="4" t="s">
        <v>95</v>
      </c>
      <c r="C19" s="11">
        <v>1</v>
      </c>
      <c r="D19" s="11"/>
    </row>
    <row r="20" spans="1:4" s="1" customFormat="1" ht="16.5" customHeight="1" thickBot="1">
      <c r="A20" s="4">
        <v>17</v>
      </c>
      <c r="B20" s="4" t="s">
        <v>74</v>
      </c>
      <c r="C20" s="11">
        <v>1</v>
      </c>
      <c r="D20" s="11"/>
    </row>
    <row r="21" spans="1:4" s="1" customFormat="1" ht="16.5" customHeight="1" thickBot="1">
      <c r="A21" s="4">
        <v>18</v>
      </c>
      <c r="B21" s="4" t="s">
        <v>84</v>
      </c>
      <c r="C21" s="11">
        <v>1</v>
      </c>
      <c r="D21" s="11"/>
    </row>
    <row r="22" spans="1:4" s="1" customFormat="1" ht="16.5" customHeight="1" thickBot="1">
      <c r="A22" s="4">
        <v>19</v>
      </c>
      <c r="B22" s="4" t="s">
        <v>75</v>
      </c>
      <c r="C22" s="11">
        <v>1</v>
      </c>
      <c r="D22" s="11"/>
    </row>
    <row r="23" spans="1:4" s="1" customFormat="1" ht="16.5" customHeight="1" thickBot="1">
      <c r="A23" s="4">
        <v>20</v>
      </c>
      <c r="B23" s="4" t="s">
        <v>76</v>
      </c>
      <c r="C23" s="11">
        <v>0</v>
      </c>
      <c r="D23" s="11"/>
    </row>
    <row r="24" spans="1:4" s="1" customFormat="1" ht="29.25" customHeight="1" thickBot="1">
      <c r="A24" s="4">
        <v>21</v>
      </c>
      <c r="B24" s="4" t="s">
        <v>116</v>
      </c>
      <c r="C24" s="11">
        <v>1</v>
      </c>
      <c r="D24" s="11"/>
    </row>
    <row r="25" spans="1:4" s="1" customFormat="1" ht="16.5" customHeight="1" thickBot="1">
      <c r="A25" s="4">
        <v>22</v>
      </c>
      <c r="B25" s="4" t="s">
        <v>124</v>
      </c>
      <c r="C25" s="11">
        <v>1</v>
      </c>
      <c r="D25" s="11"/>
    </row>
    <row r="26" spans="1:4" s="1" customFormat="1" ht="29.25" customHeight="1" thickBot="1">
      <c r="A26" s="4">
        <v>23</v>
      </c>
      <c r="B26" s="4" t="s">
        <v>125</v>
      </c>
      <c r="C26" s="11">
        <v>1</v>
      </c>
      <c r="D26" s="11"/>
    </row>
    <row r="27" spans="1:4" s="1" customFormat="1" ht="16.5" customHeight="1" thickBot="1">
      <c r="A27" s="4">
        <v>24</v>
      </c>
      <c r="B27" s="4" t="s">
        <v>85</v>
      </c>
      <c r="C27" s="11">
        <v>1</v>
      </c>
      <c r="D27" s="11"/>
    </row>
    <row r="28" spans="1:4" ht="15.75" thickBot="1">
      <c r="B28" s="8" t="s">
        <v>126</v>
      </c>
      <c r="C28" s="15">
        <f>AVERAGE(C4:D27)</f>
        <v>0.79166666666666663</v>
      </c>
      <c r="D28" s="16"/>
    </row>
  </sheetData>
  <mergeCells count="27">
    <mergeCell ref="C2:D2"/>
    <mergeCell ref="C4:D4"/>
    <mergeCell ref="C5:D5"/>
    <mergeCell ref="C6:D6"/>
    <mergeCell ref="C15:D15"/>
    <mergeCell ref="C16:D16"/>
    <mergeCell ref="C7:D7"/>
    <mergeCell ref="C8:D8"/>
    <mergeCell ref="C9:D9"/>
    <mergeCell ref="C10:D10"/>
    <mergeCell ref="C11:D11"/>
    <mergeCell ref="C27:D27"/>
    <mergeCell ref="C28:D28"/>
    <mergeCell ref="C3:D3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</mergeCells>
  <conditionalFormatting sqref="C4:D27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menu</vt:lpstr>
      <vt:lpstr>grafico</vt:lpstr>
      <vt:lpstr>Usabilidad</vt:lpstr>
      <vt:lpstr>Presencia</vt:lpstr>
      <vt:lpstr>Accesibilidad</vt:lpstr>
      <vt:lpstr>Rapidez acceso</vt:lpstr>
      <vt:lpstr>Indexacion buscadores</vt:lpstr>
      <vt:lpstr>Seguridad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USUARIO</cp:lastModifiedBy>
  <dcterms:created xsi:type="dcterms:W3CDTF">2015-08-12T03:16:34Z</dcterms:created>
  <dcterms:modified xsi:type="dcterms:W3CDTF">2022-10-20T03:21:02Z</dcterms:modified>
</cp:coreProperties>
</file>